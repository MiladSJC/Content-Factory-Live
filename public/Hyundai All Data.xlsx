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d.moradi\Desktop\Demo Portal\ReactVideo\public\"/>
    </mc:Choice>
  </mc:AlternateContent>
  <xr:revisionPtr revIDLastSave="0" documentId="13_ncr:1_{775FEF7F-1A4B-4F59-ABA2-496DFF45797E}" xr6:coauthVersionLast="47" xr6:coauthVersionMax="47" xr10:uidLastSave="{00000000-0000-0000-0000-000000000000}"/>
  <bookViews>
    <workbookView xWindow="-110" yWindow="-110" windowWidth="19420" windowHeight="11500" xr2:uid="{9A5EA03E-B89D-0E4D-B944-BE1D488626D3}"/>
  </bookViews>
  <sheets>
    <sheet name="demo_Metro Flyer_ec_export_2025" sheetId="1" r:id="rId1"/>
  </sheets>
  <definedNames>
    <definedName name="_xlnm._FilterDatabase" localSheetId="0" hidden="1">'demo_Metro Flyer_ec_export_2025'!$A$1:$U$33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" i="1" l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2" i="1"/>
</calcChain>
</file>

<file path=xl/sharedStrings.xml><?xml version="1.0" encoding="utf-8"?>
<sst xmlns="http://schemas.openxmlformats.org/spreadsheetml/2006/main" count="463" uniqueCount="103">
  <si>
    <t>id</t>
  </si>
  <si>
    <t>year</t>
  </si>
  <si>
    <t>week</t>
  </si>
  <si>
    <t>docket</t>
  </si>
  <si>
    <t>campaign</t>
  </si>
  <si>
    <t>category_name</t>
  </si>
  <si>
    <t>page</t>
  </si>
  <si>
    <t>adblock</t>
  </si>
  <si>
    <t>sbu</t>
  </si>
  <si>
    <t>featured_item_number</t>
  </si>
  <si>
    <t>offer_copy</t>
  </si>
  <si>
    <t>offer_type</t>
  </si>
  <si>
    <t>record_type</t>
  </si>
  <si>
    <t>image_bilingual_list</t>
  </si>
  <si>
    <t>ON</t>
  </si>
  <si>
    <t>featured</t>
  </si>
  <si>
    <t>Regular</t>
  </si>
  <si>
    <t>SJC Flyer</t>
  </si>
  <si>
    <t>/vol03/SJC%20Assets/Image%20Library/SJC/DNU_SJC_Img/P2/DNU_SJC%20Ont%20Weekly%20Flyer%201%20Valid%2020-11-25%20-%2026-11-25_Page_02_Image_0006.png</t>
  </si>
  <si>
    <t>/vol03/SJC%20Assets/Image%20Library/SJC/DNU_SJC_Img/P2/DNU_SJC%20Ont%20Weekly%20Flyer%201%20Valid%2020-11-25%20-%2026-11-25_Page_02_Image_0020.png|/vol03/SJC%20Assets/Image%20Library/SJC/DNU_SJC_Img/P2/DNU_SJC%20Ont%20Weekly%20Flyer%201%20Valid%2020-11-25%20-%2026-11-25_Page_02_Image_0019.png|/vol03/SJC%20Assets/Image%20Library/SJC/DNU_SJC_Img/P2/DNU_SJC%20Ont%20Weekly%20Flyer%201%20Valid%2020-11-25%20-%2026-11-25_Page_02_Image_0003.png</t>
  </si>
  <si>
    <t>/vol03/SJC%20Assets/Image%20Library/SJC/DNU_SJC_Img/P2/DNU_SJC%20Ont%20Weekly%20Flyer%201%20Valid%2020-11-25%20-%2026-11-25_Page_02_Image_0007.png|/vol03/SJC%20Assets/Image%20Library/SJC/DNU_SJC_Img/P2/DNU_SJC%20Ont%20Weekly%20Flyer%201%20Valid%2020-11-25%20-%2026-11-25_Page_02_Image_0008.png</t>
  </si>
  <si>
    <t>/vol03/SJC%20Assets/Image%20Library/SJC/DNU_SJC_Img/P2/DNU_SJC%20Ont%20Weekly%20Flyer%201%20Valid%2020-11-25%20-%2026-11-25_Page_02_Image_0021.png|/vol03/SJC%20Assets/Image%20Library/SJC/DNU_SJC_Img/P2/DNU_SJC%20Ont%20Weekly%20Flyer%201%20Valid%2020-11-25%20-%2026-11-25_Page_02_Image_0009.png</t>
  </si>
  <si>
    <t>/vol03/SJC%20Assets/Image%20Library/SJC/DNU_SJC_Img/P2/DNU_SJC%20Ont%20Weekly%20Flyer%201%20Valid%2020-11-25%20-%2026-11-25_Page_02_Image_0010.png</t>
  </si>
  <si>
    <t>/vol03/SJC%20Assets/Image%20Library/SJC/DNU_SJC_Img/P2/DNU_SJC%20Ont%20Weekly%20Flyer%201%20Valid%2020-11-25%20-%2026-11-25_Page_02_Image_0018.png|/vol03/SJC%20Assets/Image%20Library/SJC/DNU_SJC_Img/P2/DNU_SJC%20Ont%20Weekly%20Flyer%201%20Valid%2020-11-25%20-%2026-11-25_Page_02_Image_0004.png|/vol03/SJC%20Assets/Image%20Library/SJC/DNU_SJC_Img/P2/DNU_SJC%20Ont%20Weekly%20Flyer%201%20Valid%2020-11-25%20-%2026-11-25_Page_02_Image_0005.jpg</t>
  </si>
  <si>
    <t>/vol03/SJC%20Assets/Image%20Library/SJC/DNU_SJC_Img/P2/DNU_SJC%20Ont%20Weekly%20Flyer%201%20Valid%2020-11-25%20-%2026-11-25_Page_02_Image_0022.jpg</t>
  </si>
  <si>
    <t>/vol03/SJC%20Assets/Image%20Library/SJC/DNU_SJC_Img/P2/DNU_SJC%20Ont%20Weekly%20Flyer%201%20Valid%2020-11-25%20-%2026-11-25_Page_02_Image_0011.jpg|/vol03/SJC%20Assets/Image%20Library/SJC/DNU_SJC_Img/P2/DNU_SJC%20Ont%20Weekly%20Flyer%201%20Valid%2020-11-25%20-%2026-11-25_Page_02_Image_0012.jpg</t>
  </si>
  <si>
    <t>/vol03/SJC%20Assets/Image%20Library/SJC/DNU_SJC_Img/P2/DNU_SJC%20Ont%20Weekly%20Flyer%201%20Valid%2020-11-25%20-%2026-11-25_Page_02_Image_0014.jpg|/vol03/SJC%20Assets/Image%20Library/SJC/DNU_SJC_Img/P2/DNU_SJC%20Ont%20Weekly%20Flyer%201%20Valid%2020-11-25%20-%2026-11-25_Page_02_Image_0013.jpg</t>
  </si>
  <si>
    <t>/vol03/SJC%20Assets/Image%20Library/SJC/DNU_SJC_Img/P2/DNU_SJC%20Ont%20Weekly%20Flyer%201%20Valid%2020-11-25%20-%2026-11-25_Page_02_Image_0030.png|/vol03/SJC%20Assets/Image%20Library/SJC/DNU_SJC_Img/P2/DNU_SJC%20Ont%20Weekly%20Flyer%201%20Valid%2020-11-25%20-%2026-11-25_Page_02_Image_0029.png</t>
  </si>
  <si>
    <t>/vol03/SJC%20Assets/Image%20Library/SJC/DNU_SJC_Img/P2/DNU_SJC%20Ont%20Weekly%20Flyer%201%20Valid%2020-11-25%20-%2026-11-25_Page_02_Image_0017.jpg|/vol03/SJC%20Assets/Image%20Library/SJC/DNU_SJC_Img/P2/DNU_SJC%20Ont%20Weekly%20Flyer%201%20Valid%2020-11-25%20-%2026-11-25_Page_02_Image_0002.jpg</t>
  </si>
  <si>
    <t>/vol03/SJC%20Assets/Image%20Library/SJC/DNU_SJC_Img/P4/DNU_SJC%20Ont%20Weekly%20Flyer%201%20Valid%2020-11-25%20-%2026-11-25_Page_04_Image_0016.jpg|/vol03/SJC%20Assets/Image%20Library/SJC/DNU_SJC_Img/P4/DNU_SJC%20Ont%20Weekly%20Flyer%201%20Valid%2020-11-25%20-%2026-11-25_Page_04_Image_0015.jpg|/vol03/SJC%20Assets/Image%20Library/SJC/DNU_SJC_Img/P4/DNU_SJC%20Ont%20Weekly%20Flyer%201%20Valid%2020-11-25%20-%2026-11-25_Page_04_Image_0017.jpg</t>
  </si>
  <si>
    <t>/vol03/SJC%20Assets/Image%20Library/SJC/DNU_SJC_Img/P4/DNU_SJC%20Ont%20Weekly%20Flyer%201%20Valid%2020-11-25%20-%2026-11-25_Page_04_Image_0008.jpg|/vol03/SJC%20Assets/Image%20Library/SJC/DNU_SJC_Img/P4/DNU_SJC%20Ont%20Weekly%20Flyer%201%20Valid%2020-11-25%20-%2026-11-25_Page_04_Image_0009.jpg</t>
  </si>
  <si>
    <t>Metro</t>
  </si>
  <si>
    <t>Client</t>
  </si>
  <si>
    <t>Zone</t>
  </si>
  <si>
    <t>Web Banner</t>
  </si>
  <si>
    <t>Animation</t>
  </si>
  <si>
    <t>Video</t>
  </si>
  <si>
    <t>Social Ad</t>
  </si>
  <si>
    <t>Email</t>
  </si>
  <si>
    <t>In-Store Display</t>
  </si>
  <si>
    <t>Marketing Channels</t>
  </si>
  <si>
    <t>language</t>
  </si>
  <si>
    <t>EN</t>
  </si>
  <si>
    <t>Img1</t>
  </si>
  <si>
    <t>Copy</t>
  </si>
  <si>
    <t>Price</t>
  </si>
  <si>
    <t>Automotive</t>
  </si>
  <si>
    <t>Elevtric SUV</t>
  </si>
  <si>
    <t>Elevtric Crossover  SUV</t>
  </si>
  <si>
    <t>Compact SUV</t>
  </si>
  <si>
    <t>Crossover SUV</t>
  </si>
  <si>
    <t>Hybrid SUV</t>
  </si>
  <si>
    <t>Sedan</t>
  </si>
  <si>
    <t>Compact Sedan</t>
  </si>
  <si>
    <t>22,999.00</t>
  </si>
  <si>
    <t>58,490.00</t>
  </si>
  <si>
    <t>62,990.00</t>
  </si>
  <si>
    <t>29,746.00</t>
  </si>
  <si>
    <t>46,990.00</t>
  </si>
  <si>
    <t>2026 Hyundai Elantra in White Metallic</t>
  </si>
  <si>
    <t>2026 Hyundai Elantra in Abyss Black Pearl</t>
  </si>
  <si>
    <t>2026 Hyundai Elantra in Intense Blue Metallic</t>
  </si>
  <si>
    <t>2026 Hyundai IONIQ 5 in Abyss Black Pearl</t>
  </si>
  <si>
    <t>2026 Hyundai IONIQ 5 in Atlas White Solid</t>
  </si>
  <si>
    <t>2026 Hyundai IONIQ 5 in Lucid Blue Pearl</t>
  </si>
  <si>
    <t>2026 Hyundai IONIQ 9 in Abyss Black Pearl</t>
  </si>
  <si>
    <t>2026 Hyundai IONIQ 9 in Serenity White Pearl</t>
  </si>
  <si>
    <t>2026 Hyundai Kona in Abyss Black Pearl</t>
  </si>
  <si>
    <t>2026 Hyundai Kona in Atlas White Solid</t>
  </si>
  <si>
    <t>2026 Hyundai Kona Electric in Abyss Black Pearl</t>
  </si>
  <si>
    <t>2026 Hyundai Kona Electric in Atlas White Solid</t>
  </si>
  <si>
    <t>2026 Hyundai Kona in Meta Ultimate Red</t>
  </si>
  <si>
    <t>2026 Hyundai IONIQ 9 in Nocturne Grey</t>
  </si>
  <si>
    <t>C:\Users\milad.moradi\Desktop\Demo Portal\Assets\Metro\P1\6.png</t>
  </si>
  <si>
    <t>C:\Users\milad.moradi\Desktop\Demo Portal\Assets\Metro\P1\7.png</t>
  </si>
  <si>
    <t>C:\Users\milad.moradi\Desktop\Demo Portal\Assets\Metro\P1\8.png</t>
  </si>
  <si>
    <t>C:\Users\milad.moradi\Desktop\Demo Portal\Assets\Metro\P1\9.png</t>
  </si>
  <si>
    <t>C:\Users\milad.moradi\Desktop\Demo Portal\Assets\Metro\P1\10.png</t>
  </si>
  <si>
    <t>C:\Users\milad.moradi\Desktop\Demo Portal\Assets\Metro\P1\11.png</t>
  </si>
  <si>
    <t>C:\Users\milad.moradi\Desktop\Demo Portal\Assets\Metro\P1\12.png</t>
  </si>
  <si>
    <t>C:\Users\milad.moradi\Desktop\Demo Portal\Assets\Metro\P1\13.png</t>
  </si>
  <si>
    <t>C:\Users\milad.moradi\Desktop\Demo Portal\Assets\Metro\P1\14.png</t>
  </si>
  <si>
    <t>C:\Users\milad.moradi\Desktop\Demo Portal\ReactVideo\public\Assets\Metro\P1\1.png</t>
  </si>
  <si>
    <t>C:\Users\milad.moradi\Desktop\Demo Portal\ReactVideo\public\Assets\Metro\P1\2.png</t>
  </si>
  <si>
    <t>C:\Users\milad.moradi\Desktop\Demo Portal\ReactVideo\public\Assets\Metro\P1\3.png</t>
  </si>
  <si>
    <t>C:\Users\milad.moradi\Desktop\Demo Portal\ReactVideo\public\Assets\Metro\P1\4.png</t>
  </si>
  <si>
    <t>C:\Users\milad.moradi\Desktop\Demo Portal\ReactVideo\public\Assets\Metro\P1\5.png</t>
  </si>
  <si>
    <t>Img1 Relative Path</t>
  </si>
  <si>
    <t>/Assets/Hyundai Car Images/1.webp</t>
  </si>
  <si>
    <t>/Assets/Hyundai Car Images/2.webp</t>
  </si>
  <si>
    <t>/Assets/Hyundai Car Images/3.webp</t>
  </si>
  <si>
    <t>/Assets/Hyundai Car Images/4.webp</t>
  </si>
  <si>
    <t>/Assets/Hyundai Car Images/5.webp</t>
  </si>
  <si>
    <t>/Assets/Hyundai Car Images/6.webp</t>
  </si>
  <si>
    <t>/Assets/Hyundai Car Images/7.webp</t>
  </si>
  <si>
    <t>/Assets/Hyundai Car Images/8.webp</t>
  </si>
  <si>
    <t>/Assets/Hyundai Car Images/9.webp</t>
  </si>
  <si>
    <t>/Assets/Hyundai Car Images/10.webp</t>
  </si>
  <si>
    <t>/Assets/Hyundai Car Images/11.webp</t>
  </si>
  <si>
    <t>/Assets/Hyundai Car Images/12.webp</t>
  </si>
  <si>
    <t>/Assets/Hyundai Car Images/13.webp</t>
  </si>
  <si>
    <t>/Assets/Hyundai Car Images/14.webp</t>
  </si>
  <si>
    <t>All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</si>
</sst>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6"/>
      <color rgb="FF9CA3A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8" fillId="33" borderId="0" xfId="0" applyFont="1" applyFill="1"/>
    <xf numFmtId="0" fontId="18" fillId="34" borderId="0" xfId="0" applyFont="1" applyFill="1"/>
    <xf numFmtId="0" fontId="18" fillId="0" borderId="0" xfId="0" applyFont="1" applyAlignment="1">
      <alignment wrapText="1"/>
    </xf>
    <xf numFmtId="0" fontId="18" fillId="0" borderId="0" xfId="0" applyFont="1"/>
    <xf numFmtId="0" fontId="19" fillId="33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33" borderId="0" xfId="0" applyFont="1" applyFill="1"/>
    <xf numFmtId="49" fontId="19" fillId="34" borderId="10" xfId="42" applyNumberFormat="1" applyFont="1" applyFill="1" applyBorder="1" applyAlignment="1">
      <alignment horizontal="right"/>
    </xf>
    <xf numFmtId="49" fontId="18" fillId="34" borderId="0" xfId="42" applyNumberFormat="1" applyFont="1" applyFill="1" applyAlignment="1">
      <alignment horizontal="right"/>
    </xf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6707-D549-C24E-8638-9822459C6453}">
  <dimension ref="A1:V33"/>
  <sheetViews>
    <sheetView tabSelected="1" topLeftCell="G7" zoomScale="86" zoomScaleNormal="86" workbookViewId="0">
      <selection activeCell="H2" sqref="H2:H15"/>
    </sheetView>
  </sheetViews>
  <sheetFormatPr defaultColWidth="11.1640625" defaultRowHeight="22.5" customHeight="1" x14ac:dyDescent="0.25"/>
  <cols>
    <col min="1" max="1" width="11.1640625" style="1"/>
    <col min="2" max="2" width="4.6640625" style="1" bestFit="1" customWidth="1"/>
    <col min="3" max="3" width="6.33203125" style="1" customWidth="1"/>
    <col min="4" max="4" width="4.6640625" style="1" bestFit="1" customWidth="1"/>
    <col min="5" max="5" width="5" style="1" bestFit="1" customWidth="1"/>
    <col min="6" max="6" width="6.6640625" style="1" bestFit="1" customWidth="1"/>
    <col min="7" max="7" width="6.1640625" style="1" bestFit="1" customWidth="1"/>
    <col min="8" max="8" width="12" style="1" bestFit="1" customWidth="1"/>
    <col min="9" max="9" width="11.33203125" style="1" customWidth="1"/>
    <col min="10" max="10" width="4.6640625" style="2" bestFit="1" customWidth="1"/>
    <col min="11" max="11" width="7.1640625" style="1" bestFit="1" customWidth="1"/>
    <col min="12" max="12" width="7.83203125" style="1" customWidth="1"/>
    <col min="13" max="13" width="4.6640625" style="1" bestFit="1" customWidth="1"/>
    <col min="14" max="14" width="11.1640625" style="1"/>
    <col min="15" max="15" width="35" style="4" customWidth="1"/>
    <col min="16" max="16" width="8.83203125" style="1" bestFit="1" customWidth="1"/>
    <col min="17" max="17" width="6.83203125" style="1" bestFit="1" customWidth="1"/>
    <col min="18" max="18" width="16" style="1" customWidth="1"/>
    <col min="19" max="19" width="5.1640625" style="1" customWidth="1"/>
    <col min="20" max="20" width="6.58203125" style="10" bestFit="1" customWidth="1"/>
    <col min="21" max="21" width="0" style="1" hidden="1" customWidth="1"/>
    <col min="22" max="22" width="18.83203125" style="1" customWidth="1"/>
    <col min="23" max="16384" width="11.1640625" style="1"/>
  </cols>
  <sheetData>
    <row r="1" spans="1:22" s="5" customFormat="1" ht="10.5" x14ac:dyDescent="0.25">
      <c r="A1" s="5" t="s">
        <v>41</v>
      </c>
      <c r="B1" s="5" t="s">
        <v>0</v>
      </c>
      <c r="C1" s="5" t="s">
        <v>32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40</v>
      </c>
      <c r="I1" s="5" t="s">
        <v>5</v>
      </c>
      <c r="J1" s="6" t="s">
        <v>6</v>
      </c>
      <c r="K1" s="5" t="s">
        <v>7</v>
      </c>
      <c r="L1" s="5" t="s">
        <v>8</v>
      </c>
      <c r="M1" s="5" t="s">
        <v>33</v>
      </c>
      <c r="N1" s="5" t="s">
        <v>9</v>
      </c>
      <c r="O1" s="7" t="s">
        <v>10</v>
      </c>
      <c r="P1" s="5" t="s">
        <v>11</v>
      </c>
      <c r="Q1" s="5" t="s">
        <v>12</v>
      </c>
      <c r="R1" s="5" t="s">
        <v>43</v>
      </c>
      <c r="S1" s="5" t="s">
        <v>44</v>
      </c>
      <c r="T1" s="9" t="s">
        <v>45</v>
      </c>
      <c r="U1" s="5" t="s">
        <v>13</v>
      </c>
      <c r="V1" s="8" t="s">
        <v>87</v>
      </c>
    </row>
    <row r="2" spans="1:22" ht="22.5" customHeight="1" x14ac:dyDescent="0.25">
      <c r="A2" s="1" t="s">
        <v>42</v>
      </c>
      <c r="B2" s="1">
        <v>1096</v>
      </c>
      <c r="C2" s="1" t="s">
        <v>31</v>
      </c>
      <c r="D2" s="1">
        <v>2026</v>
      </c>
      <c r="E2" s="1">
        <v>1</v>
      </c>
      <c r="F2" s="1">
        <v>112233</v>
      </c>
      <c r="G2" s="1" t="s">
        <v>17</v>
      </c>
      <c r="H2" s="11" t="s">
        <v>102</v>
      </c>
      <c r="I2" s="1" t="s">
        <v>53</v>
      </c>
      <c r="J2" s="2">
        <v>2026</v>
      </c>
      <c r="K2" s="1">
        <v>1</v>
      </c>
      <c r="L2" s="1" t="s">
        <v>46</v>
      </c>
      <c r="M2" s="1" t="s">
        <v>14</v>
      </c>
      <c r="N2" s="1">
        <v>18359964</v>
      </c>
      <c r="O2" s="4" t="s">
        <v>60</v>
      </c>
      <c r="P2" s="1" t="s">
        <v>16</v>
      </c>
      <c r="Q2" s="1" t="s">
        <v>15</v>
      </c>
      <c r="R2" s="1" t="s">
        <v>82</v>
      </c>
      <c r="S2" s="1" t="str">
        <f>O2</f>
        <v>2026 Hyundai Elantra in Abyss Black Pearl</v>
      </c>
      <c r="T2" s="10" t="s">
        <v>54</v>
      </c>
      <c r="U2" s="1" t="s">
        <v>18</v>
      </c>
      <c r="V2" s="1" t="s">
        <v>88</v>
      </c>
    </row>
    <row r="3" spans="1:22" ht="22.5" customHeight="1" x14ac:dyDescent="0.25">
      <c r="A3" s="1" t="s">
        <v>42</v>
      </c>
      <c r="B3" s="1">
        <v>1343</v>
      </c>
      <c r="C3" s="1" t="s">
        <v>31</v>
      </c>
      <c r="D3" s="1">
        <v>2026</v>
      </c>
      <c r="E3" s="1">
        <v>1</v>
      </c>
      <c r="F3" s="1">
        <v>112233</v>
      </c>
      <c r="G3" s="1" t="s">
        <v>17</v>
      </c>
      <c r="H3" s="11" t="s">
        <v>102</v>
      </c>
      <c r="I3" s="1" t="s">
        <v>53</v>
      </c>
      <c r="J3" s="2">
        <v>2026</v>
      </c>
      <c r="K3" s="1">
        <v>2</v>
      </c>
      <c r="L3" s="1" t="s">
        <v>46</v>
      </c>
      <c r="M3" s="1" t="s">
        <v>14</v>
      </c>
      <c r="N3" s="1">
        <v>78764678</v>
      </c>
      <c r="O3" s="4" t="s">
        <v>59</v>
      </c>
      <c r="P3" s="1" t="s">
        <v>16</v>
      </c>
      <c r="Q3" s="1" t="s">
        <v>15</v>
      </c>
      <c r="R3" s="1" t="s">
        <v>83</v>
      </c>
      <c r="S3" s="1" t="str">
        <f t="shared" ref="S3:S15" si="0">O3</f>
        <v>2026 Hyundai Elantra in White Metallic</v>
      </c>
      <c r="T3" s="10" t="s">
        <v>54</v>
      </c>
      <c r="V3" s="1" t="s">
        <v>89</v>
      </c>
    </row>
    <row r="4" spans="1:22" ht="22.5" customHeight="1" x14ac:dyDescent="0.25">
      <c r="A4" s="1" t="s">
        <v>42</v>
      </c>
      <c r="B4" s="1">
        <v>1348</v>
      </c>
      <c r="C4" s="1" t="s">
        <v>31</v>
      </c>
      <c r="D4" s="1">
        <v>2026</v>
      </c>
      <c r="E4" s="1">
        <v>1</v>
      </c>
      <c r="F4" s="1">
        <v>112233</v>
      </c>
      <c r="G4" s="1" t="s">
        <v>17</v>
      </c>
      <c r="H4" s="11" t="s">
        <v>102</v>
      </c>
      <c r="I4" s="1" t="s">
        <v>53</v>
      </c>
      <c r="J4" s="2">
        <v>2026</v>
      </c>
      <c r="K4" s="1">
        <v>3</v>
      </c>
      <c r="L4" s="1" t="s">
        <v>46</v>
      </c>
      <c r="M4" s="1" t="s">
        <v>14</v>
      </c>
      <c r="N4" s="1">
        <v>31157098</v>
      </c>
      <c r="O4" s="4" t="s">
        <v>61</v>
      </c>
      <c r="P4" s="1" t="s">
        <v>16</v>
      </c>
      <c r="Q4" s="1" t="s">
        <v>15</v>
      </c>
      <c r="R4" s="1" t="s">
        <v>84</v>
      </c>
      <c r="S4" s="1" t="str">
        <f t="shared" si="0"/>
        <v>2026 Hyundai Elantra in Intense Blue Metallic</v>
      </c>
      <c r="T4" s="10" t="s">
        <v>54</v>
      </c>
      <c r="U4" s="1" t="s">
        <v>19</v>
      </c>
      <c r="V4" s="1" t="s">
        <v>90</v>
      </c>
    </row>
    <row r="5" spans="1:22" ht="22.5" customHeight="1" x14ac:dyDescent="0.25">
      <c r="A5" s="1" t="s">
        <v>42</v>
      </c>
      <c r="B5" s="1">
        <v>1098</v>
      </c>
      <c r="C5" s="1" t="s">
        <v>31</v>
      </c>
      <c r="D5" s="1">
        <v>2026</v>
      </c>
      <c r="E5" s="1">
        <v>1</v>
      </c>
      <c r="F5" s="1">
        <v>112233</v>
      </c>
      <c r="G5" s="1" t="s">
        <v>17</v>
      </c>
      <c r="H5" s="11" t="s">
        <v>102</v>
      </c>
      <c r="I5" s="1" t="s">
        <v>47</v>
      </c>
      <c r="J5" s="2">
        <v>2026</v>
      </c>
      <c r="K5" s="1">
        <v>4</v>
      </c>
      <c r="L5" s="1" t="s">
        <v>46</v>
      </c>
      <c r="M5" s="1" t="s">
        <v>14</v>
      </c>
      <c r="N5" s="1">
        <v>50116584</v>
      </c>
      <c r="O5" s="3" t="s">
        <v>62</v>
      </c>
      <c r="P5" s="1" t="s">
        <v>16</v>
      </c>
      <c r="Q5" s="1" t="s">
        <v>15</v>
      </c>
      <c r="R5" s="1" t="s">
        <v>85</v>
      </c>
      <c r="S5" s="1" t="str">
        <f t="shared" si="0"/>
        <v>2026 Hyundai IONIQ 5 in Abyss Black Pearl</v>
      </c>
      <c r="T5" s="10" t="s">
        <v>55</v>
      </c>
      <c r="U5" s="1" t="s">
        <v>20</v>
      </c>
      <c r="V5" s="1" t="s">
        <v>91</v>
      </c>
    </row>
    <row r="6" spans="1:22" ht="22.5" customHeight="1" x14ac:dyDescent="0.25">
      <c r="A6" s="1" t="s">
        <v>42</v>
      </c>
      <c r="B6" s="1">
        <v>1099</v>
      </c>
      <c r="C6" s="1" t="s">
        <v>31</v>
      </c>
      <c r="D6" s="1">
        <v>2026</v>
      </c>
      <c r="E6" s="1">
        <v>1</v>
      </c>
      <c r="F6" s="1">
        <v>112233</v>
      </c>
      <c r="G6" s="1" t="s">
        <v>17</v>
      </c>
      <c r="H6" s="11" t="s">
        <v>102</v>
      </c>
      <c r="I6" s="1" t="s">
        <v>47</v>
      </c>
      <c r="J6" s="2">
        <v>2026</v>
      </c>
      <c r="K6" s="1">
        <v>5</v>
      </c>
      <c r="L6" s="1" t="s">
        <v>46</v>
      </c>
      <c r="M6" s="1" t="s">
        <v>14</v>
      </c>
      <c r="N6" s="1">
        <v>50153122</v>
      </c>
      <c r="O6" s="3" t="s">
        <v>63</v>
      </c>
      <c r="P6" s="1" t="s">
        <v>16</v>
      </c>
      <c r="Q6" s="1" t="s">
        <v>15</v>
      </c>
      <c r="R6" s="1" t="s">
        <v>86</v>
      </c>
      <c r="S6" s="1" t="str">
        <f t="shared" si="0"/>
        <v>2026 Hyundai IONIQ 5 in Atlas White Solid</v>
      </c>
      <c r="T6" s="10" t="s">
        <v>55</v>
      </c>
      <c r="U6" s="1" t="s">
        <v>21</v>
      </c>
      <c r="V6" s="1" t="s">
        <v>92</v>
      </c>
    </row>
    <row r="7" spans="1:22" ht="22.5" customHeight="1" x14ac:dyDescent="0.25">
      <c r="A7" s="1" t="s">
        <v>42</v>
      </c>
      <c r="B7" s="1">
        <v>1100</v>
      </c>
      <c r="C7" s="1" t="s">
        <v>31</v>
      </c>
      <c r="D7" s="1">
        <v>2026</v>
      </c>
      <c r="E7" s="1">
        <v>1</v>
      </c>
      <c r="F7" s="1">
        <v>112233</v>
      </c>
      <c r="G7" s="1" t="s">
        <v>17</v>
      </c>
      <c r="H7" s="11" t="s">
        <v>102</v>
      </c>
      <c r="I7" s="1" t="s">
        <v>47</v>
      </c>
      <c r="J7" s="2">
        <v>2026</v>
      </c>
      <c r="K7" s="1">
        <v>6</v>
      </c>
      <c r="L7" s="1" t="s">
        <v>46</v>
      </c>
      <c r="M7" s="1" t="s">
        <v>14</v>
      </c>
      <c r="N7" s="1">
        <v>30361316</v>
      </c>
      <c r="O7" s="3" t="s">
        <v>64</v>
      </c>
      <c r="P7" s="1" t="s">
        <v>16</v>
      </c>
      <c r="Q7" s="1" t="s">
        <v>15</v>
      </c>
      <c r="R7" s="1" t="s">
        <v>73</v>
      </c>
      <c r="S7" s="1" t="str">
        <f t="shared" si="0"/>
        <v>2026 Hyundai IONIQ 5 in Lucid Blue Pearl</v>
      </c>
      <c r="T7" s="10" t="s">
        <v>55</v>
      </c>
      <c r="U7" s="1" t="s">
        <v>22</v>
      </c>
      <c r="V7" s="1" t="s">
        <v>93</v>
      </c>
    </row>
    <row r="8" spans="1:22" ht="22.5" customHeight="1" x14ac:dyDescent="0.25">
      <c r="A8" s="1" t="s">
        <v>42</v>
      </c>
      <c r="B8" s="1">
        <v>1101</v>
      </c>
      <c r="C8" s="1" t="s">
        <v>31</v>
      </c>
      <c r="D8" s="1">
        <v>2026</v>
      </c>
      <c r="E8" s="1">
        <v>1</v>
      </c>
      <c r="F8" s="1">
        <v>112233</v>
      </c>
      <c r="G8" s="1" t="s">
        <v>17</v>
      </c>
      <c r="H8" s="11" t="s">
        <v>102</v>
      </c>
      <c r="I8" s="1" t="s">
        <v>48</v>
      </c>
      <c r="J8" s="2">
        <v>2026</v>
      </c>
      <c r="K8" s="1">
        <v>7</v>
      </c>
      <c r="L8" s="1" t="s">
        <v>46</v>
      </c>
      <c r="M8" s="1" t="s">
        <v>14</v>
      </c>
      <c r="N8" s="1">
        <v>9310340</v>
      </c>
      <c r="O8" s="3" t="s">
        <v>65</v>
      </c>
      <c r="P8" s="1" t="s">
        <v>16</v>
      </c>
      <c r="Q8" s="1" t="s">
        <v>15</v>
      </c>
      <c r="R8" s="1" t="s">
        <v>74</v>
      </c>
      <c r="S8" s="1" t="str">
        <f t="shared" si="0"/>
        <v>2026 Hyundai IONIQ 9 in Abyss Black Pearl</v>
      </c>
      <c r="T8" s="10" t="s">
        <v>56</v>
      </c>
      <c r="U8" s="1" t="s">
        <v>23</v>
      </c>
      <c r="V8" s="1" t="s">
        <v>94</v>
      </c>
    </row>
    <row r="9" spans="1:22" ht="22.5" customHeight="1" x14ac:dyDescent="0.25">
      <c r="A9" s="1" t="s">
        <v>42</v>
      </c>
      <c r="B9" s="1">
        <v>1102</v>
      </c>
      <c r="C9" s="1" t="s">
        <v>31</v>
      </c>
      <c r="D9" s="1">
        <v>2026</v>
      </c>
      <c r="E9" s="1">
        <v>1</v>
      </c>
      <c r="F9" s="1">
        <v>112233</v>
      </c>
      <c r="G9" s="1" t="s">
        <v>17</v>
      </c>
      <c r="H9" s="11" t="s">
        <v>102</v>
      </c>
      <c r="I9" s="1" t="s">
        <v>48</v>
      </c>
      <c r="J9" s="2">
        <v>2026</v>
      </c>
      <c r="K9" s="1">
        <v>8</v>
      </c>
      <c r="L9" s="1" t="s">
        <v>46</v>
      </c>
      <c r="M9" s="1" t="s">
        <v>14</v>
      </c>
      <c r="N9" s="1">
        <v>50191456</v>
      </c>
      <c r="O9" s="3" t="s">
        <v>66</v>
      </c>
      <c r="P9" s="1" t="s">
        <v>16</v>
      </c>
      <c r="Q9" s="1" t="s">
        <v>15</v>
      </c>
      <c r="R9" s="1" t="s">
        <v>75</v>
      </c>
      <c r="S9" s="1" t="str">
        <f t="shared" si="0"/>
        <v>2026 Hyundai IONIQ 9 in Serenity White Pearl</v>
      </c>
      <c r="T9" s="10" t="s">
        <v>56</v>
      </c>
      <c r="U9" s="1" t="s">
        <v>24</v>
      </c>
      <c r="V9" s="1" t="s">
        <v>95</v>
      </c>
    </row>
    <row r="10" spans="1:22" ht="22.5" customHeight="1" x14ac:dyDescent="0.25">
      <c r="A10" s="1" t="s">
        <v>42</v>
      </c>
      <c r="B10" s="1">
        <v>1103</v>
      </c>
      <c r="C10" s="1" t="s">
        <v>31</v>
      </c>
      <c r="D10" s="1">
        <v>2026</v>
      </c>
      <c r="E10" s="1">
        <v>1</v>
      </c>
      <c r="F10" s="1">
        <v>112233</v>
      </c>
      <c r="G10" s="1" t="s">
        <v>17</v>
      </c>
      <c r="H10" s="11" t="s">
        <v>102</v>
      </c>
      <c r="I10" s="1" t="s">
        <v>48</v>
      </c>
      <c r="J10" s="2">
        <v>2026</v>
      </c>
      <c r="K10" s="1">
        <v>9</v>
      </c>
      <c r="L10" s="1" t="s">
        <v>46</v>
      </c>
      <c r="M10" s="1" t="s">
        <v>14</v>
      </c>
      <c r="N10" s="1">
        <v>30589515</v>
      </c>
      <c r="O10" s="3" t="s">
        <v>72</v>
      </c>
      <c r="P10" s="1" t="s">
        <v>16</v>
      </c>
      <c r="Q10" s="1" t="s">
        <v>15</v>
      </c>
      <c r="R10" s="1" t="s">
        <v>76</v>
      </c>
      <c r="S10" s="1" t="str">
        <f t="shared" si="0"/>
        <v>2026 Hyundai IONIQ 9 in Nocturne Grey</v>
      </c>
      <c r="T10" s="10" t="s">
        <v>56</v>
      </c>
      <c r="U10" s="1" t="s">
        <v>25</v>
      </c>
      <c r="V10" s="1" t="s">
        <v>96</v>
      </c>
    </row>
    <row r="11" spans="1:22" ht="22.5" customHeight="1" x14ac:dyDescent="0.25">
      <c r="A11" s="1" t="s">
        <v>42</v>
      </c>
      <c r="B11" s="1">
        <v>1104</v>
      </c>
      <c r="C11" s="1" t="s">
        <v>31</v>
      </c>
      <c r="D11" s="1">
        <v>2026</v>
      </c>
      <c r="E11" s="1">
        <v>1</v>
      </c>
      <c r="F11" s="1">
        <v>112233</v>
      </c>
      <c r="G11" s="1" t="s">
        <v>17</v>
      </c>
      <c r="H11" s="11" t="s">
        <v>102</v>
      </c>
      <c r="I11" s="1" t="s">
        <v>49</v>
      </c>
      <c r="J11" s="2">
        <v>2025</v>
      </c>
      <c r="K11" s="1">
        <v>10</v>
      </c>
      <c r="L11" s="1" t="s">
        <v>46</v>
      </c>
      <c r="M11" s="1" t="s">
        <v>14</v>
      </c>
      <c r="N11" s="1">
        <v>30428331</v>
      </c>
      <c r="O11" s="3" t="s">
        <v>67</v>
      </c>
      <c r="P11" s="1" t="s">
        <v>16</v>
      </c>
      <c r="Q11" s="1" t="s">
        <v>15</v>
      </c>
      <c r="R11" s="1" t="s">
        <v>77</v>
      </c>
      <c r="S11" s="1" t="str">
        <f t="shared" si="0"/>
        <v>2026 Hyundai Kona in Abyss Black Pearl</v>
      </c>
      <c r="T11" s="10" t="s">
        <v>57</v>
      </c>
      <c r="U11" s="1" t="s">
        <v>26</v>
      </c>
      <c r="V11" s="1" t="s">
        <v>97</v>
      </c>
    </row>
    <row r="12" spans="1:22" ht="22.5" customHeight="1" x14ac:dyDescent="0.25">
      <c r="A12" s="1" t="s">
        <v>42</v>
      </c>
      <c r="B12" s="1">
        <v>1105</v>
      </c>
      <c r="C12" s="1" t="s">
        <v>31</v>
      </c>
      <c r="D12" s="1">
        <v>2026</v>
      </c>
      <c r="E12" s="1">
        <v>1</v>
      </c>
      <c r="F12" s="1">
        <v>112233</v>
      </c>
      <c r="G12" s="1" t="s">
        <v>17</v>
      </c>
      <c r="H12" s="11" t="s">
        <v>102</v>
      </c>
      <c r="I12" s="1" t="s">
        <v>49</v>
      </c>
      <c r="J12" s="2">
        <v>2025</v>
      </c>
      <c r="K12" s="1">
        <v>11</v>
      </c>
      <c r="L12" s="1" t="s">
        <v>46</v>
      </c>
      <c r="M12" s="1" t="s">
        <v>14</v>
      </c>
      <c r="N12" s="1">
        <v>9481890</v>
      </c>
      <c r="O12" s="3" t="s">
        <v>68</v>
      </c>
      <c r="P12" s="1" t="s">
        <v>16</v>
      </c>
      <c r="Q12" s="1" t="s">
        <v>15</v>
      </c>
      <c r="R12" s="1" t="s">
        <v>78</v>
      </c>
      <c r="S12" s="1" t="str">
        <f t="shared" si="0"/>
        <v>2026 Hyundai Kona in Atlas White Solid</v>
      </c>
      <c r="T12" s="10" t="s">
        <v>57</v>
      </c>
      <c r="U12" s="1" t="s">
        <v>27</v>
      </c>
      <c r="V12" s="1" t="s">
        <v>98</v>
      </c>
    </row>
    <row r="13" spans="1:22" ht="22.5" customHeight="1" x14ac:dyDescent="0.25">
      <c r="A13" s="1" t="s">
        <v>42</v>
      </c>
      <c r="B13" s="1">
        <v>1106</v>
      </c>
      <c r="C13" s="1" t="s">
        <v>31</v>
      </c>
      <c r="D13" s="1">
        <v>2026</v>
      </c>
      <c r="E13" s="1">
        <v>1</v>
      </c>
      <c r="F13" s="1">
        <v>112233</v>
      </c>
      <c r="G13" s="1" t="s">
        <v>17</v>
      </c>
      <c r="H13" s="11" t="s">
        <v>102</v>
      </c>
      <c r="I13" s="1" t="s">
        <v>49</v>
      </c>
      <c r="J13" s="2">
        <v>2025</v>
      </c>
      <c r="K13" s="1">
        <v>12</v>
      </c>
      <c r="L13" s="1" t="s">
        <v>46</v>
      </c>
      <c r="M13" s="1" t="s">
        <v>14</v>
      </c>
      <c r="N13" s="1">
        <v>31146745</v>
      </c>
      <c r="O13" s="3" t="s">
        <v>71</v>
      </c>
      <c r="P13" s="1" t="s">
        <v>16</v>
      </c>
      <c r="Q13" s="1" t="s">
        <v>15</v>
      </c>
      <c r="R13" s="1" t="s">
        <v>79</v>
      </c>
      <c r="S13" s="1" t="str">
        <f t="shared" si="0"/>
        <v>2026 Hyundai Kona in Meta Ultimate Red</v>
      </c>
      <c r="T13" s="10" t="s">
        <v>57</v>
      </c>
      <c r="U13" s="1" t="s">
        <v>28</v>
      </c>
      <c r="V13" s="1" t="s">
        <v>99</v>
      </c>
    </row>
    <row r="14" spans="1:22" ht="22.5" customHeight="1" x14ac:dyDescent="0.25">
      <c r="A14" s="1" t="s">
        <v>42</v>
      </c>
      <c r="B14" s="1">
        <v>1140</v>
      </c>
      <c r="C14" s="1" t="s">
        <v>31</v>
      </c>
      <c r="D14" s="1">
        <v>2026</v>
      </c>
      <c r="E14" s="1">
        <v>1</v>
      </c>
      <c r="F14" s="1">
        <v>112233</v>
      </c>
      <c r="G14" s="1" t="s">
        <v>17</v>
      </c>
      <c r="H14" s="11" t="s">
        <v>102</v>
      </c>
      <c r="I14" s="1" t="s">
        <v>48</v>
      </c>
      <c r="J14" s="2">
        <v>2025</v>
      </c>
      <c r="K14" s="1">
        <v>13</v>
      </c>
      <c r="L14" s="1" t="s">
        <v>46</v>
      </c>
      <c r="M14" s="1" t="s">
        <v>14</v>
      </c>
      <c r="N14" s="1">
        <v>31447171</v>
      </c>
      <c r="O14" s="3" t="s">
        <v>69</v>
      </c>
      <c r="P14" s="1" t="s">
        <v>16</v>
      </c>
      <c r="Q14" s="1" t="s">
        <v>15</v>
      </c>
      <c r="R14" s="1" t="s">
        <v>80</v>
      </c>
      <c r="S14" s="1" t="str">
        <f t="shared" si="0"/>
        <v>2026 Hyundai Kona Electric in Abyss Black Pearl</v>
      </c>
      <c r="T14" s="10" t="s">
        <v>58</v>
      </c>
      <c r="U14" s="1" t="s">
        <v>29</v>
      </c>
      <c r="V14" s="1" t="s">
        <v>100</v>
      </c>
    </row>
    <row r="15" spans="1:22" ht="22.5" customHeight="1" x14ac:dyDescent="0.25">
      <c r="A15" s="1" t="s">
        <v>42</v>
      </c>
      <c r="B15" s="1">
        <v>1141</v>
      </c>
      <c r="C15" s="1" t="s">
        <v>31</v>
      </c>
      <c r="D15" s="1">
        <v>2026</v>
      </c>
      <c r="E15" s="1">
        <v>1</v>
      </c>
      <c r="F15" s="1">
        <v>112233</v>
      </c>
      <c r="G15" s="1" t="s">
        <v>17</v>
      </c>
      <c r="H15" s="11" t="s">
        <v>102</v>
      </c>
      <c r="I15" s="1" t="s">
        <v>48</v>
      </c>
      <c r="J15" s="2">
        <v>2025</v>
      </c>
      <c r="K15" s="1">
        <v>14</v>
      </c>
      <c r="L15" s="1" t="s">
        <v>46</v>
      </c>
      <c r="M15" s="1" t="s">
        <v>14</v>
      </c>
      <c r="N15" s="1">
        <v>9499166</v>
      </c>
      <c r="O15" s="3" t="s">
        <v>70</v>
      </c>
      <c r="P15" s="1" t="s">
        <v>16</v>
      </c>
      <c r="Q15" s="1" t="s">
        <v>15</v>
      </c>
      <c r="R15" s="1" t="s">
        <v>81</v>
      </c>
      <c r="S15" s="1" t="str">
        <f t="shared" si="0"/>
        <v>2026 Hyundai Kona Electric in Atlas White Solid</v>
      </c>
      <c r="T15" s="10" t="s">
        <v>58</v>
      </c>
      <c r="U15" s="1" t="s">
        <v>30</v>
      </c>
      <c r="V15" s="1" t="s">
        <v>101</v>
      </c>
    </row>
    <row r="16" spans="1:22" ht="22.5" customHeight="1" x14ac:dyDescent="0.25">
      <c r="A16" s="1" t="s">
        <v>42</v>
      </c>
      <c r="B16" s="1">
        <v>1212</v>
      </c>
      <c r="C16" s="1" t="s">
        <v>31</v>
      </c>
      <c r="D16" s="1">
        <v>2026</v>
      </c>
      <c r="E16" s="1">
        <v>1</v>
      </c>
      <c r="F16" s="1">
        <v>112233</v>
      </c>
      <c r="G16" s="1" t="s">
        <v>17</v>
      </c>
      <c r="H16" s="2" t="s">
        <v>34</v>
      </c>
      <c r="I16" s="1" t="s">
        <v>50</v>
      </c>
      <c r="K16" s="1">
        <v>1</v>
      </c>
      <c r="L16" s="1" t="s">
        <v>46</v>
      </c>
      <c r="M16" s="1" t="s">
        <v>14</v>
      </c>
      <c r="N16" s="1">
        <v>18359964</v>
      </c>
      <c r="O16" s="4" t="s">
        <v>60</v>
      </c>
      <c r="P16" s="1" t="s">
        <v>16</v>
      </c>
      <c r="Q16" s="1" t="s">
        <v>15</v>
      </c>
      <c r="R16" s="1" t="s">
        <v>82</v>
      </c>
      <c r="S16" s="1" t="str">
        <f>O16</f>
        <v>2026 Hyundai Elantra in Abyss Black Pearl</v>
      </c>
      <c r="T16" s="10" t="s">
        <v>54</v>
      </c>
      <c r="U16" s="1" t="s">
        <v>18</v>
      </c>
      <c r="V16" s="1" t="s">
        <v>88</v>
      </c>
    </row>
    <row r="17" spans="1:22" ht="22.5" customHeight="1" x14ac:dyDescent="0.25">
      <c r="A17" s="1" t="s">
        <v>42</v>
      </c>
      <c r="B17" s="1">
        <v>1213</v>
      </c>
      <c r="C17" s="1" t="s">
        <v>31</v>
      </c>
      <c r="D17" s="1">
        <v>2026</v>
      </c>
      <c r="E17" s="1">
        <v>1</v>
      </c>
      <c r="F17" s="1">
        <v>112233</v>
      </c>
      <c r="G17" s="1" t="s">
        <v>17</v>
      </c>
      <c r="H17" s="2" t="s">
        <v>34</v>
      </c>
      <c r="I17" s="1" t="s">
        <v>50</v>
      </c>
      <c r="K17" s="1">
        <v>2</v>
      </c>
      <c r="L17" s="1" t="s">
        <v>46</v>
      </c>
      <c r="M17" s="1" t="s">
        <v>14</v>
      </c>
      <c r="N17" s="1">
        <v>78764678</v>
      </c>
      <c r="O17" s="4" t="s">
        <v>59</v>
      </c>
      <c r="P17" s="1" t="s">
        <v>16</v>
      </c>
      <c r="Q17" s="1" t="s">
        <v>15</v>
      </c>
      <c r="R17" s="1" t="s">
        <v>83</v>
      </c>
      <c r="S17" s="1" t="str">
        <f t="shared" ref="S17:S18" si="1">O17</f>
        <v>2026 Hyundai Elantra in White Metallic</v>
      </c>
      <c r="T17" s="10" t="s">
        <v>54</v>
      </c>
      <c r="V17" s="1" t="s">
        <v>89</v>
      </c>
    </row>
    <row r="18" spans="1:22" ht="22.5" customHeight="1" x14ac:dyDescent="0.25">
      <c r="A18" s="1" t="s">
        <v>42</v>
      </c>
      <c r="B18" s="1">
        <v>1214</v>
      </c>
      <c r="C18" s="1" t="s">
        <v>31</v>
      </c>
      <c r="D18" s="1">
        <v>2026</v>
      </c>
      <c r="E18" s="1">
        <v>1</v>
      </c>
      <c r="F18" s="1">
        <v>112233</v>
      </c>
      <c r="G18" s="1" t="s">
        <v>17</v>
      </c>
      <c r="H18" s="2" t="s">
        <v>34</v>
      </c>
      <c r="I18" s="1" t="s">
        <v>50</v>
      </c>
      <c r="K18" s="1">
        <v>3</v>
      </c>
      <c r="L18" s="1" t="s">
        <v>46</v>
      </c>
      <c r="M18" s="1" t="s">
        <v>14</v>
      </c>
      <c r="N18" s="1">
        <v>31157098</v>
      </c>
      <c r="O18" s="4" t="s">
        <v>61</v>
      </c>
      <c r="P18" s="1" t="s">
        <v>16</v>
      </c>
      <c r="Q18" s="1" t="s">
        <v>15</v>
      </c>
      <c r="R18" s="1" t="s">
        <v>84</v>
      </c>
      <c r="S18" s="1" t="str">
        <f t="shared" si="1"/>
        <v>2026 Hyundai Elantra in Intense Blue Metallic</v>
      </c>
      <c r="T18" s="10" t="s">
        <v>54</v>
      </c>
      <c r="U18" s="1" t="s">
        <v>19</v>
      </c>
      <c r="V18" s="1" t="s">
        <v>90</v>
      </c>
    </row>
    <row r="19" spans="1:22" ht="22.5" customHeight="1" x14ac:dyDescent="0.25">
      <c r="A19" s="1" t="s">
        <v>42</v>
      </c>
      <c r="B19" s="1">
        <v>1215</v>
      </c>
      <c r="C19" s="1" t="s">
        <v>31</v>
      </c>
      <c r="D19" s="1">
        <v>2026</v>
      </c>
      <c r="E19" s="1">
        <v>1</v>
      </c>
      <c r="F19" s="1">
        <v>112233</v>
      </c>
      <c r="G19" s="1" t="s">
        <v>17</v>
      </c>
      <c r="H19" s="1" t="s">
        <v>35</v>
      </c>
      <c r="I19" s="1" t="s">
        <v>51</v>
      </c>
      <c r="K19" s="1">
        <v>1</v>
      </c>
      <c r="L19" s="1" t="s">
        <v>46</v>
      </c>
      <c r="M19" s="1" t="s">
        <v>14</v>
      </c>
      <c r="N19" s="1">
        <v>18359964</v>
      </c>
      <c r="O19" s="4" t="s">
        <v>60</v>
      </c>
      <c r="P19" s="1" t="s">
        <v>16</v>
      </c>
      <c r="Q19" s="1" t="s">
        <v>15</v>
      </c>
      <c r="R19" s="1" t="s">
        <v>82</v>
      </c>
      <c r="S19" s="1" t="str">
        <f>O19</f>
        <v>2026 Hyundai Elantra in Abyss Black Pearl</v>
      </c>
      <c r="T19" s="10" t="s">
        <v>54</v>
      </c>
      <c r="U19" s="1" t="s">
        <v>18</v>
      </c>
      <c r="V19" s="1" t="s">
        <v>88</v>
      </c>
    </row>
    <row r="20" spans="1:22" ht="22.5" customHeight="1" x14ac:dyDescent="0.25">
      <c r="A20" s="1" t="s">
        <v>42</v>
      </c>
      <c r="B20" s="1">
        <v>1216</v>
      </c>
      <c r="C20" s="1" t="s">
        <v>31</v>
      </c>
      <c r="D20" s="1">
        <v>2026</v>
      </c>
      <c r="E20" s="1">
        <v>1</v>
      </c>
      <c r="F20" s="1">
        <v>112233</v>
      </c>
      <c r="G20" s="1" t="s">
        <v>17</v>
      </c>
      <c r="H20" s="1" t="s">
        <v>35</v>
      </c>
      <c r="I20" s="1" t="s">
        <v>51</v>
      </c>
      <c r="K20" s="1">
        <v>2</v>
      </c>
      <c r="L20" s="1" t="s">
        <v>46</v>
      </c>
      <c r="M20" s="1" t="s">
        <v>14</v>
      </c>
      <c r="N20" s="1">
        <v>78764678</v>
      </c>
      <c r="O20" s="4" t="s">
        <v>59</v>
      </c>
      <c r="P20" s="1" t="s">
        <v>16</v>
      </c>
      <c r="Q20" s="1" t="s">
        <v>15</v>
      </c>
      <c r="R20" s="1" t="s">
        <v>83</v>
      </c>
      <c r="S20" s="1" t="str">
        <f t="shared" ref="S20:S21" si="2">O20</f>
        <v>2026 Hyundai Elantra in White Metallic</v>
      </c>
      <c r="T20" s="10" t="s">
        <v>54</v>
      </c>
      <c r="V20" s="1" t="s">
        <v>89</v>
      </c>
    </row>
    <row r="21" spans="1:22" ht="22.5" customHeight="1" x14ac:dyDescent="0.25">
      <c r="A21" s="1" t="s">
        <v>42</v>
      </c>
      <c r="B21" s="1">
        <v>1217</v>
      </c>
      <c r="C21" s="1" t="s">
        <v>31</v>
      </c>
      <c r="D21" s="1">
        <v>2026</v>
      </c>
      <c r="E21" s="1">
        <v>1</v>
      </c>
      <c r="F21" s="1">
        <v>112233</v>
      </c>
      <c r="G21" s="1" t="s">
        <v>17</v>
      </c>
      <c r="H21" s="1" t="s">
        <v>35</v>
      </c>
      <c r="I21" s="1" t="s">
        <v>51</v>
      </c>
      <c r="K21" s="1">
        <v>3</v>
      </c>
      <c r="L21" s="1" t="s">
        <v>46</v>
      </c>
      <c r="M21" s="1" t="s">
        <v>14</v>
      </c>
      <c r="N21" s="1">
        <v>31157098</v>
      </c>
      <c r="O21" s="4" t="s">
        <v>61</v>
      </c>
      <c r="P21" s="1" t="s">
        <v>16</v>
      </c>
      <c r="Q21" s="1" t="s">
        <v>15</v>
      </c>
      <c r="R21" s="1" t="s">
        <v>84</v>
      </c>
      <c r="S21" s="1" t="str">
        <f t="shared" si="2"/>
        <v>2026 Hyundai Elantra in Intense Blue Metallic</v>
      </c>
      <c r="T21" s="10" t="s">
        <v>54</v>
      </c>
      <c r="U21" s="1" t="s">
        <v>19</v>
      </c>
      <c r="V21" s="1" t="s">
        <v>90</v>
      </c>
    </row>
    <row r="22" spans="1:22" ht="22.5" customHeight="1" x14ac:dyDescent="0.25">
      <c r="A22" s="1" t="s">
        <v>42</v>
      </c>
      <c r="B22" s="1">
        <v>1218</v>
      </c>
      <c r="C22" s="1" t="s">
        <v>31</v>
      </c>
      <c r="D22" s="1">
        <v>2026</v>
      </c>
      <c r="E22" s="1">
        <v>1</v>
      </c>
      <c r="F22" s="1">
        <v>112233</v>
      </c>
      <c r="G22" s="1" t="s">
        <v>17</v>
      </c>
      <c r="H22" s="1" t="s">
        <v>36</v>
      </c>
      <c r="I22" s="1" t="s">
        <v>52</v>
      </c>
      <c r="K22" s="1">
        <v>1</v>
      </c>
      <c r="L22" s="1" t="s">
        <v>46</v>
      </c>
      <c r="M22" s="1" t="s">
        <v>14</v>
      </c>
      <c r="N22" s="1">
        <v>18359964</v>
      </c>
      <c r="O22" s="4" t="s">
        <v>60</v>
      </c>
      <c r="P22" s="1" t="s">
        <v>16</v>
      </c>
      <c r="Q22" s="1" t="s">
        <v>15</v>
      </c>
      <c r="R22" s="1" t="s">
        <v>82</v>
      </c>
      <c r="S22" s="1" t="str">
        <f>O22</f>
        <v>2026 Hyundai Elantra in Abyss Black Pearl</v>
      </c>
      <c r="T22" s="10" t="s">
        <v>54</v>
      </c>
      <c r="U22" s="1" t="s">
        <v>18</v>
      </c>
      <c r="V22" s="1" t="s">
        <v>88</v>
      </c>
    </row>
    <row r="23" spans="1:22" ht="22.5" customHeight="1" x14ac:dyDescent="0.25">
      <c r="A23" s="1" t="s">
        <v>42</v>
      </c>
      <c r="B23" s="1">
        <v>1219</v>
      </c>
      <c r="C23" s="1" t="s">
        <v>31</v>
      </c>
      <c r="D23" s="1">
        <v>2026</v>
      </c>
      <c r="E23" s="1">
        <v>1</v>
      </c>
      <c r="F23" s="1">
        <v>112233</v>
      </c>
      <c r="G23" s="1" t="s">
        <v>17</v>
      </c>
      <c r="H23" s="1" t="s">
        <v>36</v>
      </c>
      <c r="I23" s="1" t="s">
        <v>52</v>
      </c>
      <c r="K23" s="1">
        <v>2</v>
      </c>
      <c r="L23" s="1" t="s">
        <v>46</v>
      </c>
      <c r="M23" s="1" t="s">
        <v>14</v>
      </c>
      <c r="N23" s="1">
        <v>78764678</v>
      </c>
      <c r="O23" s="4" t="s">
        <v>59</v>
      </c>
      <c r="P23" s="1" t="s">
        <v>16</v>
      </c>
      <c r="Q23" s="1" t="s">
        <v>15</v>
      </c>
      <c r="R23" s="1" t="s">
        <v>83</v>
      </c>
      <c r="S23" s="1" t="str">
        <f t="shared" ref="S23:S24" si="3">O23</f>
        <v>2026 Hyundai Elantra in White Metallic</v>
      </c>
      <c r="T23" s="10" t="s">
        <v>54</v>
      </c>
      <c r="V23" s="1" t="s">
        <v>89</v>
      </c>
    </row>
    <row r="24" spans="1:22" ht="22.5" customHeight="1" x14ac:dyDescent="0.25">
      <c r="A24" s="1" t="s">
        <v>42</v>
      </c>
      <c r="B24" s="1">
        <v>1220</v>
      </c>
      <c r="C24" s="1" t="s">
        <v>31</v>
      </c>
      <c r="D24" s="1">
        <v>2026</v>
      </c>
      <c r="E24" s="1">
        <v>1</v>
      </c>
      <c r="F24" s="1">
        <v>112233</v>
      </c>
      <c r="G24" s="1" t="s">
        <v>17</v>
      </c>
      <c r="H24" s="1" t="s">
        <v>36</v>
      </c>
      <c r="I24" s="1" t="s">
        <v>52</v>
      </c>
      <c r="K24" s="1">
        <v>3</v>
      </c>
      <c r="L24" s="1" t="s">
        <v>46</v>
      </c>
      <c r="M24" s="1" t="s">
        <v>14</v>
      </c>
      <c r="N24" s="1">
        <v>31157098</v>
      </c>
      <c r="O24" s="4" t="s">
        <v>61</v>
      </c>
      <c r="P24" s="1" t="s">
        <v>16</v>
      </c>
      <c r="Q24" s="1" t="s">
        <v>15</v>
      </c>
      <c r="R24" s="1" t="s">
        <v>84</v>
      </c>
      <c r="S24" s="1" t="str">
        <f t="shared" si="3"/>
        <v>2026 Hyundai Elantra in Intense Blue Metallic</v>
      </c>
      <c r="T24" s="10" t="s">
        <v>54</v>
      </c>
      <c r="U24" s="1" t="s">
        <v>19</v>
      </c>
      <c r="V24" s="1" t="s">
        <v>90</v>
      </c>
    </row>
    <row r="25" spans="1:22" ht="22.5" customHeight="1" x14ac:dyDescent="0.25">
      <c r="A25" s="1" t="s">
        <v>42</v>
      </c>
      <c r="B25" s="1">
        <v>1221</v>
      </c>
      <c r="C25" s="1" t="s">
        <v>31</v>
      </c>
      <c r="D25" s="1">
        <v>2026</v>
      </c>
      <c r="E25" s="1">
        <v>1</v>
      </c>
      <c r="F25" s="1">
        <v>112233</v>
      </c>
      <c r="G25" s="1" t="s">
        <v>17</v>
      </c>
      <c r="H25" s="1" t="s">
        <v>37</v>
      </c>
      <c r="I25" s="1" t="s">
        <v>50</v>
      </c>
      <c r="K25" s="1">
        <v>1</v>
      </c>
      <c r="L25" s="1" t="s">
        <v>46</v>
      </c>
      <c r="M25" s="1" t="s">
        <v>14</v>
      </c>
      <c r="N25" s="1">
        <v>18359964</v>
      </c>
      <c r="O25" s="4" t="s">
        <v>60</v>
      </c>
      <c r="P25" s="1" t="s">
        <v>16</v>
      </c>
      <c r="Q25" s="1" t="s">
        <v>15</v>
      </c>
      <c r="R25" s="1" t="s">
        <v>82</v>
      </c>
      <c r="S25" s="1" t="str">
        <f>O25</f>
        <v>2026 Hyundai Elantra in Abyss Black Pearl</v>
      </c>
      <c r="T25" s="10" t="s">
        <v>54</v>
      </c>
      <c r="U25" s="1" t="s">
        <v>18</v>
      </c>
      <c r="V25" s="1" t="s">
        <v>88</v>
      </c>
    </row>
    <row r="26" spans="1:22" ht="22.5" customHeight="1" x14ac:dyDescent="0.25">
      <c r="A26" s="1" t="s">
        <v>42</v>
      </c>
      <c r="B26" s="1">
        <v>1222</v>
      </c>
      <c r="C26" s="1" t="s">
        <v>31</v>
      </c>
      <c r="D26" s="1">
        <v>2026</v>
      </c>
      <c r="E26" s="1">
        <v>1</v>
      </c>
      <c r="F26" s="1">
        <v>112233</v>
      </c>
      <c r="G26" s="1" t="s">
        <v>17</v>
      </c>
      <c r="H26" s="1" t="s">
        <v>37</v>
      </c>
      <c r="I26" s="1" t="s">
        <v>50</v>
      </c>
      <c r="K26" s="1">
        <v>2</v>
      </c>
      <c r="L26" s="1" t="s">
        <v>46</v>
      </c>
      <c r="M26" s="1" t="s">
        <v>14</v>
      </c>
      <c r="N26" s="1">
        <v>78764678</v>
      </c>
      <c r="O26" s="4" t="s">
        <v>59</v>
      </c>
      <c r="P26" s="1" t="s">
        <v>16</v>
      </c>
      <c r="Q26" s="1" t="s">
        <v>15</v>
      </c>
      <c r="R26" s="1" t="s">
        <v>83</v>
      </c>
      <c r="S26" s="1" t="str">
        <f t="shared" ref="S26:S27" si="4">O26</f>
        <v>2026 Hyundai Elantra in White Metallic</v>
      </c>
      <c r="T26" s="10" t="s">
        <v>54</v>
      </c>
      <c r="V26" s="1" t="s">
        <v>89</v>
      </c>
    </row>
    <row r="27" spans="1:22" ht="22.5" customHeight="1" x14ac:dyDescent="0.25">
      <c r="A27" s="1" t="s">
        <v>42</v>
      </c>
      <c r="B27" s="1">
        <v>1223</v>
      </c>
      <c r="C27" s="1" t="s">
        <v>31</v>
      </c>
      <c r="D27" s="1">
        <v>2026</v>
      </c>
      <c r="E27" s="1">
        <v>1</v>
      </c>
      <c r="F27" s="1">
        <v>112233</v>
      </c>
      <c r="G27" s="1" t="s">
        <v>17</v>
      </c>
      <c r="H27" s="1" t="s">
        <v>37</v>
      </c>
      <c r="I27" s="1" t="s">
        <v>50</v>
      </c>
      <c r="K27" s="1">
        <v>3</v>
      </c>
      <c r="L27" s="1" t="s">
        <v>46</v>
      </c>
      <c r="M27" s="1" t="s">
        <v>14</v>
      </c>
      <c r="N27" s="1">
        <v>31157098</v>
      </c>
      <c r="O27" s="4" t="s">
        <v>61</v>
      </c>
      <c r="P27" s="1" t="s">
        <v>16</v>
      </c>
      <c r="Q27" s="1" t="s">
        <v>15</v>
      </c>
      <c r="R27" s="1" t="s">
        <v>84</v>
      </c>
      <c r="S27" s="1" t="str">
        <f t="shared" si="4"/>
        <v>2026 Hyundai Elantra in Intense Blue Metallic</v>
      </c>
      <c r="T27" s="10" t="s">
        <v>54</v>
      </c>
      <c r="U27" s="1" t="s">
        <v>19</v>
      </c>
      <c r="V27" s="1" t="s">
        <v>90</v>
      </c>
    </row>
    <row r="28" spans="1:22" ht="22.5" customHeight="1" x14ac:dyDescent="0.25">
      <c r="A28" s="1" t="s">
        <v>42</v>
      </c>
      <c r="B28" s="1">
        <v>1224</v>
      </c>
      <c r="C28" s="1" t="s">
        <v>31</v>
      </c>
      <c r="D28" s="1">
        <v>2026</v>
      </c>
      <c r="E28" s="1">
        <v>1</v>
      </c>
      <c r="F28" s="1">
        <v>112233</v>
      </c>
      <c r="G28" s="1" t="s">
        <v>17</v>
      </c>
      <c r="H28" s="1" t="s">
        <v>38</v>
      </c>
      <c r="I28" s="1" t="s">
        <v>50</v>
      </c>
      <c r="K28" s="1">
        <v>1</v>
      </c>
      <c r="L28" s="1" t="s">
        <v>46</v>
      </c>
      <c r="M28" s="1" t="s">
        <v>14</v>
      </c>
      <c r="N28" s="1">
        <v>18359964</v>
      </c>
      <c r="O28" s="4" t="s">
        <v>60</v>
      </c>
      <c r="P28" s="1" t="s">
        <v>16</v>
      </c>
      <c r="Q28" s="1" t="s">
        <v>15</v>
      </c>
      <c r="R28" s="1" t="s">
        <v>82</v>
      </c>
      <c r="S28" s="1" t="str">
        <f>O28</f>
        <v>2026 Hyundai Elantra in Abyss Black Pearl</v>
      </c>
      <c r="T28" s="10" t="s">
        <v>54</v>
      </c>
      <c r="U28" s="1" t="s">
        <v>18</v>
      </c>
      <c r="V28" s="1" t="s">
        <v>88</v>
      </c>
    </row>
    <row r="29" spans="1:22" ht="22.5" customHeight="1" x14ac:dyDescent="0.25">
      <c r="A29" s="1" t="s">
        <v>42</v>
      </c>
      <c r="B29" s="1">
        <v>1225</v>
      </c>
      <c r="C29" s="1" t="s">
        <v>31</v>
      </c>
      <c r="D29" s="1">
        <v>2026</v>
      </c>
      <c r="E29" s="1">
        <v>1</v>
      </c>
      <c r="F29" s="1">
        <v>112233</v>
      </c>
      <c r="G29" s="1" t="s">
        <v>17</v>
      </c>
      <c r="H29" s="1" t="s">
        <v>38</v>
      </c>
      <c r="I29" s="1" t="s">
        <v>50</v>
      </c>
      <c r="K29" s="1">
        <v>2</v>
      </c>
      <c r="L29" s="1" t="s">
        <v>46</v>
      </c>
      <c r="M29" s="1" t="s">
        <v>14</v>
      </c>
      <c r="N29" s="1">
        <v>78764678</v>
      </c>
      <c r="O29" s="4" t="s">
        <v>59</v>
      </c>
      <c r="P29" s="1" t="s">
        <v>16</v>
      </c>
      <c r="Q29" s="1" t="s">
        <v>15</v>
      </c>
      <c r="R29" s="1" t="s">
        <v>83</v>
      </c>
      <c r="S29" s="1" t="str">
        <f t="shared" ref="S29:S30" si="5">O29</f>
        <v>2026 Hyundai Elantra in White Metallic</v>
      </c>
      <c r="T29" s="10" t="s">
        <v>54</v>
      </c>
      <c r="V29" s="1" t="s">
        <v>89</v>
      </c>
    </row>
    <row r="30" spans="1:22" ht="22.5" customHeight="1" x14ac:dyDescent="0.25">
      <c r="A30" s="1" t="s">
        <v>42</v>
      </c>
      <c r="B30" s="1">
        <v>1226</v>
      </c>
      <c r="C30" s="1" t="s">
        <v>31</v>
      </c>
      <c r="D30" s="1">
        <v>2026</v>
      </c>
      <c r="E30" s="1">
        <v>1</v>
      </c>
      <c r="F30" s="1">
        <v>112233</v>
      </c>
      <c r="G30" s="1" t="s">
        <v>17</v>
      </c>
      <c r="H30" s="1" t="s">
        <v>38</v>
      </c>
      <c r="I30" s="1" t="s">
        <v>50</v>
      </c>
      <c r="K30" s="1">
        <v>3</v>
      </c>
      <c r="L30" s="1" t="s">
        <v>46</v>
      </c>
      <c r="M30" s="1" t="s">
        <v>14</v>
      </c>
      <c r="N30" s="1">
        <v>31157098</v>
      </c>
      <c r="O30" s="4" t="s">
        <v>61</v>
      </c>
      <c r="P30" s="1" t="s">
        <v>16</v>
      </c>
      <c r="Q30" s="1" t="s">
        <v>15</v>
      </c>
      <c r="R30" s="1" t="s">
        <v>84</v>
      </c>
      <c r="S30" s="1" t="str">
        <f t="shared" si="5"/>
        <v>2026 Hyundai Elantra in Intense Blue Metallic</v>
      </c>
      <c r="T30" s="10" t="s">
        <v>54</v>
      </c>
      <c r="U30" s="1" t="s">
        <v>19</v>
      </c>
      <c r="V30" s="1" t="s">
        <v>90</v>
      </c>
    </row>
    <row r="31" spans="1:22" ht="22.5" customHeight="1" x14ac:dyDescent="0.25">
      <c r="A31" s="1" t="s">
        <v>42</v>
      </c>
      <c r="B31" s="1">
        <v>1227</v>
      </c>
      <c r="C31" s="1" t="s">
        <v>31</v>
      </c>
      <c r="D31" s="1">
        <v>2026</v>
      </c>
      <c r="E31" s="1">
        <v>1</v>
      </c>
      <c r="F31" s="1">
        <v>112233</v>
      </c>
      <c r="G31" s="1" t="s">
        <v>17</v>
      </c>
      <c r="H31" s="1" t="s">
        <v>39</v>
      </c>
      <c r="I31" s="1" t="s">
        <v>46</v>
      </c>
      <c r="K31" s="1">
        <v>1</v>
      </c>
      <c r="L31" s="1" t="s">
        <v>46</v>
      </c>
      <c r="M31" s="1" t="s">
        <v>14</v>
      </c>
      <c r="N31" s="1">
        <v>18359964</v>
      </c>
      <c r="O31" s="4" t="s">
        <v>60</v>
      </c>
      <c r="P31" s="1" t="s">
        <v>16</v>
      </c>
      <c r="Q31" s="1" t="s">
        <v>15</v>
      </c>
      <c r="R31" s="1" t="s">
        <v>82</v>
      </c>
      <c r="S31" s="1" t="str">
        <f>O31</f>
        <v>2026 Hyundai Elantra in Abyss Black Pearl</v>
      </c>
      <c r="T31" s="10" t="s">
        <v>54</v>
      </c>
      <c r="U31" s="1" t="s">
        <v>18</v>
      </c>
      <c r="V31" s="1" t="s">
        <v>88</v>
      </c>
    </row>
    <row r="32" spans="1:22" ht="22.5" customHeight="1" x14ac:dyDescent="0.25">
      <c r="A32" s="1" t="s">
        <v>42</v>
      </c>
      <c r="B32" s="1">
        <v>1228</v>
      </c>
      <c r="C32" s="1" t="s">
        <v>31</v>
      </c>
      <c r="D32" s="1">
        <v>2026</v>
      </c>
      <c r="E32" s="1">
        <v>1</v>
      </c>
      <c r="F32" s="1">
        <v>112233</v>
      </c>
      <c r="G32" s="1" t="s">
        <v>17</v>
      </c>
      <c r="H32" s="1" t="s">
        <v>39</v>
      </c>
      <c r="I32" s="1" t="s">
        <v>46</v>
      </c>
      <c r="K32" s="1">
        <v>2</v>
      </c>
      <c r="L32" s="1" t="s">
        <v>46</v>
      </c>
      <c r="M32" s="1" t="s">
        <v>14</v>
      </c>
      <c r="N32" s="1">
        <v>78764678</v>
      </c>
      <c r="O32" s="4" t="s">
        <v>59</v>
      </c>
      <c r="P32" s="1" t="s">
        <v>16</v>
      </c>
      <c r="Q32" s="1" t="s">
        <v>15</v>
      </c>
      <c r="R32" s="1" t="s">
        <v>83</v>
      </c>
      <c r="S32" s="1" t="str">
        <f t="shared" ref="S32:S33" si="6">O32</f>
        <v>2026 Hyundai Elantra in White Metallic</v>
      </c>
      <c r="T32" s="10" t="s">
        <v>54</v>
      </c>
      <c r="V32" s="1" t="s">
        <v>89</v>
      </c>
    </row>
    <row r="33" spans="1:22" ht="22.5" customHeight="1" x14ac:dyDescent="0.25">
      <c r="A33" s="1" t="s">
        <v>42</v>
      </c>
      <c r="B33" s="1">
        <v>1229</v>
      </c>
      <c r="C33" s="1" t="s">
        <v>31</v>
      </c>
      <c r="D33" s="1">
        <v>2026</v>
      </c>
      <c r="E33" s="1">
        <v>1</v>
      </c>
      <c r="F33" s="1">
        <v>112233</v>
      </c>
      <c r="G33" s="1" t="s">
        <v>17</v>
      </c>
      <c r="H33" s="1" t="s">
        <v>39</v>
      </c>
      <c r="I33" s="1" t="s">
        <v>46</v>
      </c>
      <c r="K33" s="1">
        <v>3</v>
      </c>
      <c r="L33" s="1" t="s">
        <v>46</v>
      </c>
      <c r="M33" s="1" t="s">
        <v>14</v>
      </c>
      <c r="N33" s="1">
        <v>31157098</v>
      </c>
      <c r="O33" s="4" t="s">
        <v>61</v>
      </c>
      <c r="P33" s="1" t="s">
        <v>16</v>
      </c>
      <c r="Q33" s="1" t="s">
        <v>15</v>
      </c>
      <c r="R33" s="1" t="s">
        <v>84</v>
      </c>
      <c r="S33" s="1" t="str">
        <f t="shared" si="6"/>
        <v>2026 Hyundai Elantra in Intense Blue Metallic</v>
      </c>
      <c r="T33" s="10" t="s">
        <v>54</v>
      </c>
      <c r="U33" s="1" t="s">
        <v>19</v>
      </c>
      <c r="V33" s="1" t="s">
        <v>90</v>
      </c>
    </row>
  </sheetData>
  <phoneticPr fontId="20" type="noConversion"/>
  <pageMargins left="0.75" right="0.75" top="1" bottom="1" header="0.5" footer="0.5"/>
  <pageSetup paperSize="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demo_Metro Flyer_ec_export_2025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Flynn</dc:creator>
  <cp:lastModifiedBy>Milad Moradi</cp:lastModifiedBy>
  <dcterms:created xsi:type="dcterms:W3CDTF">2025-12-15T21:49:36Z</dcterms:created>
  <dcterms:modified xsi:type="dcterms:W3CDTF">2026-01-31T16:04:39Z</dcterms:modified>
</cp:coreProperties>
</file>